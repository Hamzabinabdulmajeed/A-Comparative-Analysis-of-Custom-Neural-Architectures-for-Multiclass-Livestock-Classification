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AI project\A Comparative Analysis of Custom Neural Architectures for Multiclass Livestock Classification\A-Comparative-Analysis-of-Custom-Neural-Architectures-for-Multiclass-Livestock-Classification\"/>
    </mc:Choice>
  </mc:AlternateContent>
  <xr:revisionPtr revIDLastSave="0" documentId="13_ncr:1_{999486D4-B1C5-4E68-B667-8575CB066ED8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RNN " sheetId="6" r:id="rId1"/>
    <sheet name="Vit" sheetId="7" r:id="rId2"/>
    <sheet name="GCNN" sheetId="8" r:id="rId3"/>
    <sheet name="EDA" sheetId="9" r:id="rId4"/>
    <sheet name="Final Comparative Results Table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9" l="1"/>
</calcChain>
</file>

<file path=xl/sharedStrings.xml><?xml version="1.0" encoding="utf-8"?>
<sst xmlns="http://schemas.openxmlformats.org/spreadsheetml/2006/main" count="81" uniqueCount="52">
  <si>
    <t>CRNN Training Performance Table</t>
  </si>
  <si>
    <t>Epoch</t>
  </si>
  <si>
    <t>Train Loss</t>
  </si>
  <si>
    <t>Train Acc (%)</t>
  </si>
  <si>
    <t>Val Loss</t>
  </si>
  <si>
    <t>Val Acc (%)</t>
  </si>
  <si>
    <t>Final Evaluation Summary</t>
  </si>
  <si>
    <t>Metric</t>
  </si>
  <si>
    <t>Result</t>
  </si>
  <si>
    <t>Total Test Images</t>
  </si>
  <si>
    <t>Final Test Accuracy</t>
  </si>
  <si>
    <t>Best Val Accuracy</t>
  </si>
  <si>
    <t>95.90% (Epoch 23)</t>
  </si>
  <si>
    <t>Vit Training Performance Table</t>
  </si>
  <si>
    <t>Performance Value</t>
  </si>
  <si>
    <t>Best Validation Accuracy</t>
  </si>
  <si>
    <t>85.69% (at Epoch 22)</t>
  </si>
  <si>
    <t>Best Validation Loss</t>
  </si>
  <si>
    <t>0.4690 (at Epoch 18)</t>
  </si>
  <si>
    <t>GCNN Training Performance Table</t>
  </si>
  <si>
    <t>72.97% (Epoch 24)</t>
  </si>
  <si>
    <t>0.6286 (Epoch 24)</t>
  </si>
  <si>
    <t>Overall Dataset Instance Distribution</t>
  </si>
  <si>
    <t>Class ID</t>
  </si>
  <si>
    <t>Animal Class</t>
  </si>
  <si>
    <t>Total Instances</t>
  </si>
  <si>
    <t>Cow</t>
  </si>
  <si>
    <t>Pig</t>
  </si>
  <si>
    <t>Sheep</t>
  </si>
  <si>
    <t>Horse</t>
  </si>
  <si>
    <t>Class_4 (Minority)</t>
  </si>
  <si>
    <t>Total</t>
  </si>
  <si>
    <t>Dataset Split Overview</t>
  </si>
  <si>
    <t>Split</t>
  </si>
  <si>
    <t>Total Images</t>
  </si>
  <si>
    <t>Train</t>
  </si>
  <si>
    <t>Valid</t>
  </si>
  <si>
    <t>Test</t>
  </si>
  <si>
    <t>Class Distribution per Split</t>
  </si>
  <si>
    <t>Class_4</t>
  </si>
  <si>
    <t>Final Comparative Results Table</t>
  </si>
  <si>
    <t>Model Architecture</t>
  </si>
  <si>
    <t>Final Test Acc (%)</t>
  </si>
  <si>
    <t>Best Val Acc (%)</t>
  </si>
  <si>
    <t>Best Val Loss</t>
  </si>
  <si>
    <t>Key Structural Feature</t>
  </si>
  <si>
    <t>CRNN</t>
  </si>
  <si>
    <t>CNN Features + RNN Sequence</t>
  </si>
  <si>
    <t>ViT</t>
  </si>
  <si>
    <t>Self-Attention Mechanism</t>
  </si>
  <si>
    <t>GCNN</t>
  </si>
  <si>
    <t>Spatial Graph Connectivity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</si>
</sst>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EDA!$C$2</c:f>
              <c:strCache>
                <c:ptCount val="1"/>
                <c:pt idx="0">
                  <c:v>Total Instances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EDA!$B$3:$B$7</c:f>
              <c:strCache>
                <c:ptCount val="5"/>
                <c:pt idx="0">
                  <c:v>Cow</c:v>
                </c:pt>
                <c:pt idx="1">
                  <c:v>Pig</c:v>
                </c:pt>
                <c:pt idx="2">
                  <c:v>Sheep</c:v>
                </c:pt>
                <c:pt idx="3">
                  <c:v>Horse</c:v>
                </c:pt>
                <c:pt idx="4">
                  <c:v>Class_4 (Minority)</c:v>
                </c:pt>
              </c:strCache>
            </c:strRef>
          </c:cat>
          <c:val>
            <c:numRef>
              <c:f>EDA!$C$3:$C$7</c:f>
              <c:numCache>
                <c:formatCode>General</c:formatCode>
                <c:ptCount val="5"/>
                <c:pt idx="0" formatCode="#,##0">
                  <c:v>4146</c:v>
                </c:pt>
                <c:pt idx="1">
                  <c:v>545</c:v>
                </c:pt>
                <c:pt idx="2" formatCode="#,##0">
                  <c:v>12388</c:v>
                </c:pt>
                <c:pt idx="3" formatCode="#,##0">
                  <c:v>5239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A-492D-A895-32DED5237A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7020352"/>
        <c:axId val="1897019392"/>
      </c:barChart>
      <c:catAx>
        <c:axId val="1897020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97019392"/>
        <c:crosses val="autoZero"/>
        <c:auto val="1"/>
        <c:lblAlgn val="ctr"/>
        <c:lblOffset val="100"/>
        <c:noMultiLvlLbl val="0"/>
      </c:catAx>
      <c:valAx>
        <c:axId val="189701939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89702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Dataset Split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EDA!$G$2</c:f>
              <c:strCache>
                <c:ptCount val="1"/>
                <c:pt idx="0">
                  <c:v>Total Images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EDA!$F$3:$F$5</c:f>
              <c:strCache>
                <c:ptCount val="3"/>
                <c:pt idx="0">
                  <c:v>Train</c:v>
                </c:pt>
                <c:pt idx="1">
                  <c:v>Valid</c:v>
                </c:pt>
                <c:pt idx="2">
                  <c:v>Test</c:v>
                </c:pt>
              </c:strCache>
            </c:strRef>
          </c:cat>
          <c:val>
            <c:numRef>
              <c:f>EDA!$G$3:$G$5</c:f>
              <c:numCache>
                <c:formatCode>General</c:formatCode>
                <c:ptCount val="3"/>
                <c:pt idx="0" formatCode="#,##0">
                  <c:v>4867</c:v>
                </c:pt>
                <c:pt idx="1">
                  <c:v>1195</c:v>
                </c:pt>
                <c:pt idx="2" formatCode="#,##0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6-4A40-8593-4611BA82B37B}"/>
            </c:ext>
          </c:extLst>
        </c:ser>
        <c:ser>
          <c:idx val="1"/>
          <c:order val="1"/>
          <c:tx>
            <c:strRef>
              <c:f>EDA!$H$2</c:f>
              <c:strCache>
                <c:ptCount val="1"/>
                <c:pt idx="0">
                  <c:v>Total Instances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EDA!$F$3:$F$5</c:f>
              <c:strCache>
                <c:ptCount val="3"/>
                <c:pt idx="0">
                  <c:v>Train</c:v>
                </c:pt>
                <c:pt idx="1">
                  <c:v>Valid</c:v>
                </c:pt>
                <c:pt idx="2">
                  <c:v>Test</c:v>
                </c:pt>
              </c:strCache>
            </c:strRef>
          </c:cat>
          <c:val>
            <c:numRef>
              <c:f>EDA!$H$3:$H$5</c:f>
              <c:numCache>
                <c:formatCode>General</c:formatCode>
                <c:ptCount val="3"/>
                <c:pt idx="0" formatCode="#,##0">
                  <c:v>16457</c:v>
                </c:pt>
                <c:pt idx="1">
                  <c:v>4012</c:v>
                </c:pt>
                <c:pt idx="2" formatCode="#,##0">
                  <c:v>1873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6-4A40-8593-4611BA82B3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0020992"/>
        <c:axId val="1130027232"/>
      </c:barChart>
      <c:catAx>
        <c:axId val="113002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27232"/>
        <c:crosses val="autoZero"/>
        <c:auto val="1"/>
        <c:lblAlgn val="ctr"/>
        <c:lblOffset val="100"/>
        <c:noMultiLvlLbl val="0"/>
      </c:catAx>
      <c:valAx>
        <c:axId val="113002723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13002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Class Distribution per 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EDA!$L$3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EDA!$M$2:$Q$2</c:f>
              <c:strCache>
                <c:ptCount val="5"/>
                <c:pt idx="0">
                  <c:v>Cow</c:v>
                </c:pt>
                <c:pt idx="1">
                  <c:v>Pig</c:v>
                </c:pt>
                <c:pt idx="2">
                  <c:v>Sheep</c:v>
                </c:pt>
                <c:pt idx="3">
                  <c:v>Horse</c:v>
                </c:pt>
                <c:pt idx="4">
                  <c:v>Class_4</c:v>
                </c:pt>
              </c:strCache>
            </c:strRef>
          </c:cat>
          <c:val>
            <c:numRef>
              <c:f>EDA!$M$3:$Q$3</c:f>
              <c:numCache>
                <c:formatCode>#,##0</c:formatCode>
                <c:ptCount val="5"/>
                <c:pt idx="0">
                  <c:v>3259</c:v>
                </c:pt>
                <c:pt idx="1">
                  <c:v>388</c:v>
                </c:pt>
                <c:pt idx="2">
                  <c:v>9165</c:v>
                </c:pt>
                <c:pt idx="3">
                  <c:v>3627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4-40D2-9029-A01CCF2C2F48}"/>
            </c:ext>
          </c:extLst>
        </c:ser>
        <c:ser>
          <c:idx val="1"/>
          <c:order val="1"/>
          <c:tx>
            <c:strRef>
              <c:f>EDA!$L$4</c:f>
              <c:strCache>
                <c:ptCount val="1"/>
                <c:pt idx="0">
                  <c:v>Valid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EDA!$M$2:$Q$2</c:f>
              <c:strCache>
                <c:ptCount val="5"/>
                <c:pt idx="0">
                  <c:v>Cow</c:v>
                </c:pt>
                <c:pt idx="1">
                  <c:v>Pig</c:v>
                </c:pt>
                <c:pt idx="2">
                  <c:v>Sheep</c:v>
                </c:pt>
                <c:pt idx="3">
                  <c:v>Horse</c:v>
                </c:pt>
                <c:pt idx="4">
                  <c:v>Class_4</c:v>
                </c:pt>
              </c:strCache>
            </c:strRef>
          </c:cat>
          <c:val>
            <c:numRef>
              <c:f>EDA!$M$4:$Q$4</c:f>
              <c:numCache>
                <c:formatCode>General</c:formatCode>
                <c:ptCount val="5"/>
                <c:pt idx="0">
                  <c:v>663</c:v>
                </c:pt>
                <c:pt idx="1">
                  <c:v>110</c:v>
                </c:pt>
                <c:pt idx="2">
                  <c:v>2141</c:v>
                </c:pt>
                <c:pt idx="3">
                  <c:v>1097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04-40D2-9029-A01CCF2C2F48}"/>
            </c:ext>
          </c:extLst>
        </c:ser>
        <c:ser>
          <c:idx val="2"/>
          <c:order val="2"/>
          <c:tx>
            <c:strRef>
              <c:f>EDA!$L$5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EDA!$M$2:$Q$2</c:f>
              <c:strCache>
                <c:ptCount val="5"/>
                <c:pt idx="0">
                  <c:v>Cow</c:v>
                </c:pt>
                <c:pt idx="1">
                  <c:v>Pig</c:v>
                </c:pt>
                <c:pt idx="2">
                  <c:v>Sheep</c:v>
                </c:pt>
                <c:pt idx="3">
                  <c:v>Horse</c:v>
                </c:pt>
                <c:pt idx="4">
                  <c:v>Class_4</c:v>
                </c:pt>
              </c:strCache>
            </c:strRef>
          </c:cat>
          <c:val>
            <c:numRef>
              <c:f>EDA!$M$5:$Q$5</c:f>
              <c:numCache>
                <c:formatCode>#,##0</c:formatCode>
                <c:ptCount val="5"/>
                <c:pt idx="0">
                  <c:v>224</c:v>
                </c:pt>
                <c:pt idx="1">
                  <c:v>47</c:v>
                </c:pt>
                <c:pt idx="2">
                  <c:v>1082</c:v>
                </c:pt>
                <c:pt idx="3">
                  <c:v>515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04-40D2-9029-A01CCF2C2F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87519488"/>
        <c:axId val="1887519968"/>
      </c:barChart>
      <c:catAx>
        <c:axId val="188751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19968"/>
        <c:crosses val="autoZero"/>
        <c:auto val="1"/>
        <c:lblAlgn val="ctr"/>
        <c:lblOffset val="100"/>
        <c:noMultiLvlLbl val="0"/>
      </c:catAx>
      <c:valAx>
        <c:axId val="188751996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88751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Final Comparative Results 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Comparative Results Table'!$B$2</c:f>
              <c:strCache>
                <c:ptCount val="1"/>
                <c:pt idx="0">
                  <c:v>Final Test Acc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Comparative Results Table'!$A$3:$A$5</c:f>
              <c:strCache>
                <c:ptCount val="3"/>
                <c:pt idx="0">
                  <c:v>CRNN</c:v>
                </c:pt>
                <c:pt idx="1">
                  <c:v>ViT</c:v>
                </c:pt>
                <c:pt idx="2">
                  <c:v>GCNN</c:v>
                </c:pt>
              </c:strCache>
            </c:strRef>
          </c:cat>
          <c:val>
            <c:numRef>
              <c:f>'Final Comparative Results Table'!$B$3:$B$5</c:f>
              <c:numCache>
                <c:formatCode>0.00%</c:formatCode>
                <c:ptCount val="3"/>
                <c:pt idx="0">
                  <c:v>0.94489999999999996</c:v>
                </c:pt>
                <c:pt idx="1">
                  <c:v>0.83860000000000001</c:v>
                </c:pt>
                <c:pt idx="2">
                  <c:v>0.72050000000000003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8-430D-9881-F629B290BC02}"/>
            </c:ext>
          </c:extLst>
        </c:ser>
        <c:ser>
          <c:idx val="1"/>
          <c:order val="1"/>
          <c:tx>
            <c:strRef>
              <c:f>'Final Comparative Results Table'!$C$2</c:f>
              <c:strCache>
                <c:ptCount val="1"/>
                <c:pt idx="0">
                  <c:v>Best Val Acc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Comparative Results Table'!$A$3:$A$5</c:f>
              <c:strCache>
                <c:ptCount val="3"/>
                <c:pt idx="0">
                  <c:v>CRNN</c:v>
                </c:pt>
                <c:pt idx="1">
                  <c:v>ViT</c:v>
                </c:pt>
                <c:pt idx="2">
                  <c:v>GCNN</c:v>
                </c:pt>
              </c:strCache>
            </c:strRef>
          </c:cat>
          <c:val>
            <c:numRef>
              <c:f>'Final Comparative Results Table'!$C$3:$C$5</c:f>
              <c:numCache>
                <c:formatCode>0.00%</c:formatCode>
                <c:ptCount val="3"/>
                <c:pt idx="0">
                  <c:v>0.95899999999999996</c:v>
                </c:pt>
                <c:pt idx="1">
                  <c:v>0.8569</c:v>
                </c:pt>
                <c:pt idx="2">
                  <c:v>0.72970000000000002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08-430D-9881-F629B290BC02}"/>
            </c:ext>
          </c:extLst>
        </c:ser>
        <c:ser>
          <c:idx val="2"/>
          <c:order val="2"/>
          <c:tx>
            <c:strRef>
              <c:f>'Final Comparative Results Table'!$D$2</c:f>
              <c:strCache>
                <c:ptCount val="1"/>
                <c:pt idx="0">
                  <c:v>Best Val Loss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Comparative Results Table'!$A$3:$A$5</c:f>
              <c:strCache>
                <c:ptCount val="3"/>
                <c:pt idx="0">
                  <c:v>CRNN</c:v>
                </c:pt>
                <c:pt idx="1">
                  <c:v>ViT</c:v>
                </c:pt>
                <c:pt idx="2">
                  <c:v>GCNN</c:v>
                </c:pt>
              </c:strCache>
            </c:strRef>
          </c:cat>
          <c:val>
            <c:numRef>
              <c:f>'Final Comparative Results Table'!$D$3:$D$5</c:f>
              <c:numCache>
                <c:formatCode>0.00%</c:formatCode>
                <c:ptCount val="3"/>
                <c:pt idx="0">
                  <c:v>0.16</c:v>
                </c:pt>
                <c:pt idx="1">
                  <c:v>0.46899999999999997</c:v>
                </c:pt>
                <c:pt idx="2">
                  <c:v>0.62860000000000005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08-430D-9881-F629B290BC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3183936"/>
        <c:axId val="1383184416"/>
      </c:barChart>
      <c:catAx>
        <c:axId val="138318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184416"/>
        <c:crosses val="autoZero"/>
        <c:auto val="1"/>
        <c:lblAlgn val="ctr"/>
        <c:lblOffset val="100"/>
        <c:noMultiLvlLbl val="0"/>
      </c:catAx>
      <c:valAx>
        <c:axId val="13831844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38318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64770</xdr:rowOff>
    </xdr:from>
    <xdr:to>
      <xdr:col>7</xdr:col>
      <xdr:colOff>0</xdr:colOff>
      <xdr:row>23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165D3F-C47E-615A-4D11-893481107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34290</xdr:rowOff>
    </xdr:from>
    <xdr:to>
      <xdr:col>17</xdr:col>
      <xdr:colOff>0</xdr:colOff>
      <xdr:row>22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35F17F-9AAB-2CAA-051F-AA97DE959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944880</xdr:colOff>
      <xdr:row>12</xdr:row>
      <xdr:rowOff>3810</xdr:rowOff>
    </xdr:from>
    <xdr:to>
      <xdr:col>19</xdr:col>
      <xdr:colOff>22860</xdr:colOff>
      <xdr:row>27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0B3270-2D41-2EEA-5B16-D5D5E914A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80010</xdr:rowOff>
    </xdr:from>
    <xdr:to>
      <xdr:col>12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7BFC3-CC7A-AD37-E9B0-BCE2B091F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B16E-ECB3-4434-BF21-5C04412F35A3}">
  <dimension ref="A1:H27"/>
  <sheetViews>
    <sheetView workbookViewId="0">
      <selection activeCell="H4" sqref="G1:H5"/>
    </sheetView>
  </sheetViews>
  <sheetFormatPr defaultRowHeight="14.4" x14ac:dyDescent="0.3"/>
  <cols>
    <col min="1" max="1" width="6.21875" bestFit="1" customWidth="1"/>
    <col min="2" max="2" width="9.21875" bestFit="1" customWidth="1"/>
    <col min="3" max="3" width="11.88671875" bestFit="1" customWidth="1"/>
    <col min="4" max="4" width="7.6640625" bestFit="1" customWidth="1"/>
    <col min="5" max="5" width="10.33203125" bestFit="1" customWidth="1"/>
    <col min="7" max="7" width="22.109375" bestFit="1" customWidth="1"/>
    <col min="8" max="8" width="16.109375" bestFit="1" customWidth="1"/>
  </cols>
  <sheetData>
    <row r="1" spans="1:8" x14ac:dyDescent="0.3">
      <c r="A1" s="6" t="s">
        <v>0</v>
      </c>
      <c r="B1" s="6"/>
      <c r="C1" s="6"/>
      <c r="D1" s="6"/>
      <c r="E1" s="6"/>
      <c r="G1" s="6" t="s">
        <v>6</v>
      </c>
      <c r="H1" s="6"/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7</v>
      </c>
      <c r="H2" s="2" t="s">
        <v>8</v>
      </c>
    </row>
    <row r="3" spans="1:8" x14ac:dyDescent="0.3">
      <c r="A3" s="1">
        <v>1</v>
      </c>
      <c r="B3" s="1">
        <v>0.54959999999999998</v>
      </c>
      <c r="C3" s="1">
        <v>78.59</v>
      </c>
      <c r="D3" s="1">
        <v>0.47920000000000001</v>
      </c>
      <c r="E3" s="1">
        <v>80.08</v>
      </c>
      <c r="G3" s="1" t="s">
        <v>9</v>
      </c>
      <c r="H3" s="1">
        <v>508</v>
      </c>
    </row>
    <row r="4" spans="1:8" x14ac:dyDescent="0.3">
      <c r="A4" s="1">
        <v>2</v>
      </c>
      <c r="B4" s="1">
        <v>0.33189999999999997</v>
      </c>
      <c r="C4" s="1">
        <v>87.45</v>
      </c>
      <c r="D4" s="1">
        <v>0.32569999999999999</v>
      </c>
      <c r="E4" s="1">
        <v>85.86</v>
      </c>
      <c r="G4" s="1" t="s">
        <v>10</v>
      </c>
      <c r="H4" s="4">
        <v>0.94489999999999996</v>
      </c>
    </row>
    <row r="5" spans="1:8" x14ac:dyDescent="0.3">
      <c r="A5" s="1">
        <v>3</v>
      </c>
      <c r="B5" s="1">
        <v>0.27839999999999998</v>
      </c>
      <c r="C5" s="1">
        <v>89.79</v>
      </c>
      <c r="D5" s="1">
        <v>0.32519999999999999</v>
      </c>
      <c r="E5" s="1">
        <v>87.03</v>
      </c>
      <c r="G5" s="1" t="s">
        <v>11</v>
      </c>
      <c r="H5" s="1" t="s">
        <v>12</v>
      </c>
    </row>
    <row r="6" spans="1:8" x14ac:dyDescent="0.3">
      <c r="A6" s="1">
        <v>4</v>
      </c>
      <c r="B6" s="1">
        <v>0.24310000000000001</v>
      </c>
      <c r="C6" s="1">
        <v>90.98</v>
      </c>
      <c r="D6" s="1">
        <v>0.32500000000000001</v>
      </c>
      <c r="E6" s="1">
        <v>86.61</v>
      </c>
    </row>
    <row r="7" spans="1:8" x14ac:dyDescent="0.3">
      <c r="A7" s="1">
        <v>5</v>
      </c>
      <c r="B7" s="1">
        <v>0.1966</v>
      </c>
      <c r="C7" s="1">
        <v>92.25</v>
      </c>
      <c r="D7" s="1">
        <v>0.2369</v>
      </c>
      <c r="E7" s="1">
        <v>91.46</v>
      </c>
    </row>
    <row r="8" spans="1:8" x14ac:dyDescent="0.3">
      <c r="A8" s="1">
        <v>6</v>
      </c>
      <c r="B8" s="1">
        <v>0.18290000000000001</v>
      </c>
      <c r="C8" s="1">
        <v>93.03</v>
      </c>
      <c r="D8" s="1">
        <v>0.22650000000000001</v>
      </c>
      <c r="E8" s="1">
        <v>91.8</v>
      </c>
    </row>
    <row r="9" spans="1:8" x14ac:dyDescent="0.3">
      <c r="A9" s="1">
        <v>7</v>
      </c>
      <c r="B9" s="1">
        <v>0.1661</v>
      </c>
      <c r="C9" s="1">
        <v>94</v>
      </c>
      <c r="D9" s="1">
        <v>0.21829999999999999</v>
      </c>
      <c r="E9" s="1">
        <v>91.97</v>
      </c>
    </row>
    <row r="10" spans="1:8" x14ac:dyDescent="0.3">
      <c r="A10" s="1">
        <v>8</v>
      </c>
      <c r="B10" s="1">
        <v>0.16259999999999999</v>
      </c>
      <c r="C10" s="1">
        <v>94.25</v>
      </c>
      <c r="D10" s="1">
        <v>0.23</v>
      </c>
      <c r="E10" s="1">
        <v>90.71</v>
      </c>
    </row>
    <row r="11" spans="1:8" x14ac:dyDescent="0.3">
      <c r="A11" s="1">
        <v>9</v>
      </c>
      <c r="B11" s="1">
        <v>0.11360000000000001</v>
      </c>
      <c r="C11" s="1">
        <v>96.24</v>
      </c>
      <c r="D11" s="1">
        <v>0.27110000000000001</v>
      </c>
      <c r="E11" s="1">
        <v>91.38</v>
      </c>
    </row>
    <row r="12" spans="1:8" x14ac:dyDescent="0.3">
      <c r="A12" s="1">
        <v>10</v>
      </c>
      <c r="B12" s="1">
        <v>9.9699999999999997E-2</v>
      </c>
      <c r="C12" s="1">
        <v>96.53</v>
      </c>
      <c r="D12" s="1">
        <v>0.22409999999999999</v>
      </c>
      <c r="E12" s="1">
        <v>93.39</v>
      </c>
    </row>
    <row r="13" spans="1:8" x14ac:dyDescent="0.3">
      <c r="A13" s="1">
        <v>11</v>
      </c>
      <c r="B13" s="1">
        <v>9.3600000000000003E-2</v>
      </c>
      <c r="C13" s="1">
        <v>96.67</v>
      </c>
      <c r="D13" s="1">
        <v>0.2268</v>
      </c>
      <c r="E13" s="1">
        <v>92.38</v>
      </c>
    </row>
    <row r="14" spans="1:8" x14ac:dyDescent="0.3">
      <c r="A14" s="1">
        <v>12</v>
      </c>
      <c r="B14" s="1">
        <v>0.13400000000000001</v>
      </c>
      <c r="C14" s="1">
        <v>95.07</v>
      </c>
      <c r="D14" s="1">
        <v>0.18859999999999999</v>
      </c>
      <c r="E14" s="1">
        <v>93.64</v>
      </c>
    </row>
    <row r="15" spans="1:8" x14ac:dyDescent="0.3">
      <c r="A15" s="1">
        <v>13</v>
      </c>
      <c r="B15" s="1">
        <v>7.3899999999999993E-2</v>
      </c>
      <c r="C15" s="1">
        <v>97.68</v>
      </c>
      <c r="D15" s="1">
        <v>0.1694</v>
      </c>
      <c r="E15" s="1">
        <v>94.56</v>
      </c>
    </row>
    <row r="16" spans="1:8" x14ac:dyDescent="0.3">
      <c r="A16" s="1">
        <v>14</v>
      </c>
      <c r="B16" s="1">
        <v>6.1699999999999998E-2</v>
      </c>
      <c r="C16" s="1">
        <v>97.95</v>
      </c>
      <c r="D16" s="1">
        <v>0.2359</v>
      </c>
      <c r="E16" s="1">
        <v>93.47</v>
      </c>
    </row>
    <row r="17" spans="1:5" x14ac:dyDescent="0.3">
      <c r="A17" s="1">
        <v>15</v>
      </c>
      <c r="B17" s="1">
        <v>7.9299999999999995E-2</v>
      </c>
      <c r="C17" s="1">
        <v>97.27</v>
      </c>
      <c r="D17" s="1">
        <v>0.16</v>
      </c>
      <c r="E17" s="1">
        <v>94.9</v>
      </c>
    </row>
    <row r="18" spans="1:5" x14ac:dyDescent="0.3">
      <c r="A18" s="1">
        <v>16</v>
      </c>
      <c r="B18" s="1">
        <v>8.2600000000000007E-2</v>
      </c>
      <c r="C18" s="1">
        <v>97.19</v>
      </c>
      <c r="D18" s="1">
        <v>0.17699999999999999</v>
      </c>
      <c r="E18" s="1">
        <v>93.56</v>
      </c>
    </row>
    <row r="19" spans="1:5" x14ac:dyDescent="0.3">
      <c r="A19" s="1">
        <v>17</v>
      </c>
      <c r="B19" s="1">
        <v>3.9399999999999998E-2</v>
      </c>
      <c r="C19" s="1">
        <v>98.75</v>
      </c>
      <c r="D19" s="1">
        <v>0.20569999999999999</v>
      </c>
      <c r="E19" s="1">
        <v>94.81</v>
      </c>
    </row>
    <row r="20" spans="1:5" x14ac:dyDescent="0.3">
      <c r="A20" s="1">
        <v>18</v>
      </c>
      <c r="B20" s="1">
        <v>3.0099999999999998E-2</v>
      </c>
      <c r="C20" s="1">
        <v>99.05</v>
      </c>
      <c r="D20" s="1">
        <v>0.20949999999999999</v>
      </c>
      <c r="E20" s="1">
        <v>95.4</v>
      </c>
    </row>
    <row r="21" spans="1:5" x14ac:dyDescent="0.3">
      <c r="A21" s="1">
        <v>19</v>
      </c>
      <c r="B21" s="1">
        <v>3.8899999999999997E-2</v>
      </c>
      <c r="C21" s="1">
        <v>98.56</v>
      </c>
      <c r="D21" s="1">
        <v>0.2162</v>
      </c>
      <c r="E21" s="1">
        <v>94.23</v>
      </c>
    </row>
    <row r="22" spans="1:5" x14ac:dyDescent="0.3">
      <c r="A22" s="1">
        <v>20</v>
      </c>
      <c r="B22" s="1">
        <v>3.9300000000000002E-2</v>
      </c>
      <c r="C22" s="1">
        <v>98.71</v>
      </c>
      <c r="D22" s="1">
        <v>0.27779999999999999</v>
      </c>
      <c r="E22" s="1">
        <v>93.14</v>
      </c>
    </row>
    <row r="23" spans="1:5" x14ac:dyDescent="0.3">
      <c r="A23" s="1">
        <v>21</v>
      </c>
      <c r="B23" s="1">
        <v>2.8299999999999999E-2</v>
      </c>
      <c r="C23" s="1">
        <v>99.03</v>
      </c>
      <c r="D23" s="1">
        <v>0.2109</v>
      </c>
      <c r="E23" s="1">
        <v>95.23</v>
      </c>
    </row>
    <row r="24" spans="1:5" x14ac:dyDescent="0.3">
      <c r="A24" s="1">
        <v>22</v>
      </c>
      <c r="B24" s="1">
        <v>3.0800000000000001E-2</v>
      </c>
      <c r="C24" s="1">
        <v>98.93</v>
      </c>
      <c r="D24" s="1">
        <v>0.17430000000000001</v>
      </c>
      <c r="E24" s="1">
        <v>95.4</v>
      </c>
    </row>
    <row r="25" spans="1:5" x14ac:dyDescent="0.3">
      <c r="A25" s="1">
        <v>23</v>
      </c>
      <c r="B25" s="1">
        <v>2.29E-2</v>
      </c>
      <c r="C25" s="1">
        <v>99.28</v>
      </c>
      <c r="D25" s="1">
        <v>0.1875</v>
      </c>
      <c r="E25" s="1">
        <v>95.9</v>
      </c>
    </row>
    <row r="26" spans="1:5" x14ac:dyDescent="0.3">
      <c r="A26" s="1">
        <v>24</v>
      </c>
      <c r="B26" s="1">
        <v>6.2899999999999998E-2</v>
      </c>
      <c r="C26" s="1">
        <v>97.84</v>
      </c>
      <c r="D26" s="1">
        <v>0.29909999999999998</v>
      </c>
      <c r="E26" s="1">
        <v>93.31</v>
      </c>
    </row>
    <row r="27" spans="1:5" x14ac:dyDescent="0.3">
      <c r="A27" s="1">
        <v>25</v>
      </c>
      <c r="B27" s="1">
        <v>5.1700000000000003E-2</v>
      </c>
      <c r="C27" s="1">
        <v>98.19</v>
      </c>
      <c r="D27" s="1">
        <v>0.23430000000000001</v>
      </c>
      <c r="E27" s="1">
        <v>93.97</v>
      </c>
    </row>
  </sheetData>
  <mergeCells count="2">
    <mergeCell ref="A1:E1"/>
    <mergeCell ref="G1:H1"/>
  </mergeCells>
  <conditionalFormatting sqref="A3:A27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:B27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C2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:D2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:E2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2EE5-20FF-46F8-B028-AE4141A5E14D}">
  <dimension ref="A1:I27"/>
  <sheetViews>
    <sheetView workbookViewId="0">
      <selection activeCell="G1" sqref="G1:H5"/>
    </sheetView>
  </sheetViews>
  <sheetFormatPr defaultRowHeight="14.4" x14ac:dyDescent="0.3"/>
  <cols>
    <col min="1" max="1" width="6.21875" style="1" bestFit="1" customWidth="1"/>
    <col min="2" max="2" width="9.21875" style="1" bestFit="1" customWidth="1"/>
    <col min="3" max="3" width="11.88671875" style="1" bestFit="1" customWidth="1"/>
    <col min="4" max="4" width="7.6640625" style="1" bestFit="1" customWidth="1"/>
    <col min="5" max="5" width="10.33203125" style="1" bestFit="1" customWidth="1"/>
    <col min="6" max="6" width="8.88671875" style="1"/>
    <col min="7" max="7" width="22.109375" style="1" bestFit="1" customWidth="1"/>
    <col min="8" max="8" width="18.33203125" style="1" bestFit="1" customWidth="1"/>
    <col min="9" max="9" width="15.109375" style="1" bestFit="1" customWidth="1"/>
    <col min="10" max="10" width="11.5546875" style="1" bestFit="1" customWidth="1"/>
    <col min="11" max="11" width="14.44140625" style="1" bestFit="1" customWidth="1"/>
    <col min="12" max="16384" width="8.88671875" style="1"/>
  </cols>
  <sheetData>
    <row r="1" spans="1:9" x14ac:dyDescent="0.3">
      <c r="A1" s="6" t="s">
        <v>13</v>
      </c>
      <c r="B1" s="6"/>
      <c r="C1" s="6"/>
      <c r="D1" s="6"/>
      <c r="E1" s="6"/>
      <c r="G1" s="6" t="s">
        <v>6</v>
      </c>
      <c r="H1" s="6"/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7</v>
      </c>
      <c r="H2" s="2" t="s">
        <v>14</v>
      </c>
    </row>
    <row r="3" spans="1:9" x14ac:dyDescent="0.3">
      <c r="A3" s="1">
        <v>1</v>
      </c>
      <c r="B3" s="1">
        <v>1.1696</v>
      </c>
      <c r="C3" s="1">
        <v>52.04</v>
      </c>
      <c r="D3" s="1">
        <v>0.93610000000000004</v>
      </c>
      <c r="E3" s="1">
        <v>66.44</v>
      </c>
      <c r="G3" s="1" t="s">
        <v>10</v>
      </c>
      <c r="H3" s="4">
        <v>0.83860000000000001</v>
      </c>
      <c r="I3" s="4"/>
    </row>
    <row r="4" spans="1:9" x14ac:dyDescent="0.3">
      <c r="A4" s="1">
        <v>2</v>
      </c>
      <c r="B4" s="1">
        <v>0.99839999999999995</v>
      </c>
      <c r="C4" s="1">
        <v>61.89</v>
      </c>
      <c r="D4" s="1">
        <v>0.87809999999999999</v>
      </c>
      <c r="E4" s="1">
        <v>66.28</v>
      </c>
      <c r="G4" s="1" t="s">
        <v>15</v>
      </c>
      <c r="H4" s="4" t="s">
        <v>16</v>
      </c>
      <c r="I4" s="4"/>
    </row>
    <row r="5" spans="1:9" x14ac:dyDescent="0.3">
      <c r="A5" s="1">
        <v>3</v>
      </c>
      <c r="B5" s="1">
        <v>0.79720000000000002</v>
      </c>
      <c r="C5" s="1">
        <v>69.709999999999994</v>
      </c>
      <c r="D5" s="1">
        <v>0.72140000000000004</v>
      </c>
      <c r="E5" s="1">
        <v>67.78</v>
      </c>
      <c r="G5" s="1" t="s">
        <v>17</v>
      </c>
      <c r="H5" s="1" t="s">
        <v>18</v>
      </c>
    </row>
    <row r="6" spans="1:9" x14ac:dyDescent="0.3">
      <c r="A6" s="1">
        <v>4</v>
      </c>
      <c r="B6" s="1">
        <v>0.66720000000000002</v>
      </c>
      <c r="C6" s="1">
        <v>73.95</v>
      </c>
      <c r="D6" s="1">
        <v>0.86229999999999996</v>
      </c>
      <c r="E6" s="1">
        <v>65.77</v>
      </c>
    </row>
    <row r="7" spans="1:9" x14ac:dyDescent="0.3">
      <c r="A7" s="1">
        <v>5</v>
      </c>
      <c r="B7" s="1">
        <v>0.62690000000000001</v>
      </c>
      <c r="C7" s="1">
        <v>75.16</v>
      </c>
      <c r="D7" s="1">
        <v>0.63470000000000004</v>
      </c>
      <c r="E7" s="1">
        <v>73.97</v>
      </c>
    </row>
    <row r="8" spans="1:9" x14ac:dyDescent="0.3">
      <c r="A8" s="1">
        <v>6</v>
      </c>
      <c r="B8" s="1">
        <v>0.59589999999999999</v>
      </c>
      <c r="C8" s="1">
        <v>77.13</v>
      </c>
      <c r="D8" s="1">
        <v>0.74670000000000003</v>
      </c>
      <c r="E8" s="1">
        <v>69.709999999999994</v>
      </c>
    </row>
    <row r="9" spans="1:9" x14ac:dyDescent="0.3">
      <c r="A9" s="1">
        <v>7</v>
      </c>
      <c r="B9" s="1">
        <v>0.55549999999999999</v>
      </c>
      <c r="C9" s="1">
        <v>78.39</v>
      </c>
      <c r="D9" s="1">
        <v>0.67949999999999999</v>
      </c>
      <c r="E9" s="1">
        <v>71.55</v>
      </c>
    </row>
    <row r="10" spans="1:9" x14ac:dyDescent="0.3">
      <c r="A10" s="1">
        <v>8</v>
      </c>
      <c r="B10" s="1">
        <v>0.52700000000000002</v>
      </c>
      <c r="C10" s="1">
        <v>79.72</v>
      </c>
      <c r="D10" s="1">
        <v>0.60329999999999995</v>
      </c>
      <c r="E10" s="1">
        <v>74.900000000000006</v>
      </c>
    </row>
    <row r="11" spans="1:9" x14ac:dyDescent="0.3">
      <c r="A11" s="1">
        <v>9</v>
      </c>
      <c r="B11" s="1">
        <v>0.50380000000000003</v>
      </c>
      <c r="C11" s="1">
        <v>80.44</v>
      </c>
      <c r="D11" s="1">
        <v>0.52700000000000002</v>
      </c>
      <c r="E11" s="1">
        <v>78.08</v>
      </c>
    </row>
    <row r="12" spans="1:9" x14ac:dyDescent="0.3">
      <c r="A12" s="1">
        <v>10</v>
      </c>
      <c r="B12" s="1">
        <v>0.499</v>
      </c>
      <c r="C12" s="1">
        <v>80.709999999999994</v>
      </c>
      <c r="D12" s="1">
        <v>0.55349999999999999</v>
      </c>
      <c r="E12" s="1">
        <v>77.41</v>
      </c>
    </row>
    <row r="13" spans="1:9" x14ac:dyDescent="0.3">
      <c r="A13" s="1">
        <v>11</v>
      </c>
      <c r="B13" s="1">
        <v>0.41980000000000001</v>
      </c>
      <c r="C13" s="1">
        <v>83.5</v>
      </c>
      <c r="D13" s="1">
        <v>0.49459999999999998</v>
      </c>
      <c r="E13" s="1">
        <v>81.42</v>
      </c>
    </row>
    <row r="14" spans="1:9" x14ac:dyDescent="0.3">
      <c r="A14" s="1">
        <v>12</v>
      </c>
      <c r="B14" s="1">
        <v>0.4143</v>
      </c>
      <c r="C14" s="1">
        <v>84.45</v>
      </c>
      <c r="D14" s="1">
        <v>0.5171</v>
      </c>
      <c r="E14" s="1">
        <v>80.67</v>
      </c>
    </row>
    <row r="15" spans="1:9" x14ac:dyDescent="0.3">
      <c r="A15" s="1">
        <v>13</v>
      </c>
      <c r="B15" s="1">
        <v>0.35899999999999999</v>
      </c>
      <c r="C15" s="1">
        <v>86.77</v>
      </c>
      <c r="D15" s="1">
        <v>0.48670000000000002</v>
      </c>
      <c r="E15" s="1">
        <v>83.51</v>
      </c>
    </row>
    <row r="16" spans="1:9" x14ac:dyDescent="0.3">
      <c r="A16" s="1">
        <v>14</v>
      </c>
      <c r="B16" s="1">
        <v>0.34189999999999998</v>
      </c>
      <c r="C16" s="1">
        <v>87.26</v>
      </c>
      <c r="D16" s="1">
        <v>0.52070000000000005</v>
      </c>
      <c r="E16" s="1">
        <v>82.93</v>
      </c>
    </row>
    <row r="17" spans="1:5" x14ac:dyDescent="0.3">
      <c r="A17" s="1">
        <v>15</v>
      </c>
      <c r="B17" s="1">
        <v>0.31619999999999998</v>
      </c>
      <c r="C17" s="1">
        <v>88.39</v>
      </c>
      <c r="D17" s="1">
        <v>0.51629999999999998</v>
      </c>
      <c r="E17" s="1">
        <v>83.35</v>
      </c>
    </row>
    <row r="18" spans="1:5" x14ac:dyDescent="0.3">
      <c r="A18" s="1">
        <v>16</v>
      </c>
      <c r="B18" s="1">
        <v>0.2767</v>
      </c>
      <c r="C18" s="1">
        <v>90.08</v>
      </c>
      <c r="D18" s="1">
        <v>0.73609999999999998</v>
      </c>
      <c r="E18" s="1">
        <v>79.25</v>
      </c>
    </row>
    <row r="19" spans="1:5" x14ac:dyDescent="0.3">
      <c r="A19" s="1">
        <v>17</v>
      </c>
      <c r="B19" s="1">
        <v>0.29260000000000003</v>
      </c>
      <c r="C19" s="1">
        <v>90.06</v>
      </c>
      <c r="D19" s="1">
        <v>0.47239999999999999</v>
      </c>
      <c r="E19" s="1">
        <v>82.43</v>
      </c>
    </row>
    <row r="20" spans="1:5" x14ac:dyDescent="0.3">
      <c r="A20" s="1">
        <v>18</v>
      </c>
      <c r="B20" s="1">
        <v>0.25269999999999998</v>
      </c>
      <c r="C20" s="1">
        <v>91.23</v>
      </c>
      <c r="D20" s="1">
        <v>0.46899999999999997</v>
      </c>
      <c r="E20" s="1">
        <v>84.1</v>
      </c>
    </row>
    <row r="21" spans="1:5" x14ac:dyDescent="0.3">
      <c r="A21" s="1">
        <v>19</v>
      </c>
      <c r="B21" s="1">
        <v>0.20749999999999999</v>
      </c>
      <c r="C21" s="1">
        <v>93.55</v>
      </c>
      <c r="D21" s="1">
        <v>0.9073</v>
      </c>
      <c r="E21" s="1">
        <v>81.34</v>
      </c>
    </row>
    <row r="22" spans="1:5" x14ac:dyDescent="0.3">
      <c r="A22" s="1">
        <v>20</v>
      </c>
      <c r="B22" s="1">
        <v>0.2429</v>
      </c>
      <c r="C22" s="1">
        <v>91.7</v>
      </c>
      <c r="D22" s="1">
        <v>0.48949999999999999</v>
      </c>
      <c r="E22" s="1">
        <v>84.69</v>
      </c>
    </row>
    <row r="23" spans="1:5" x14ac:dyDescent="0.3">
      <c r="A23" s="1">
        <v>21</v>
      </c>
      <c r="B23" s="1">
        <v>0.22989999999999999</v>
      </c>
      <c r="C23" s="1">
        <v>91.84</v>
      </c>
      <c r="D23" s="1">
        <v>0.6018</v>
      </c>
      <c r="E23" s="1">
        <v>75.650000000000006</v>
      </c>
    </row>
    <row r="24" spans="1:5" x14ac:dyDescent="0.3">
      <c r="A24" s="1">
        <v>22</v>
      </c>
      <c r="B24" s="1">
        <v>0.26300000000000001</v>
      </c>
      <c r="C24" s="1">
        <v>91.08</v>
      </c>
      <c r="D24" s="1">
        <v>0.55500000000000005</v>
      </c>
      <c r="E24" s="1">
        <v>85.69</v>
      </c>
    </row>
    <row r="25" spans="1:5" x14ac:dyDescent="0.3">
      <c r="A25" s="1">
        <v>23</v>
      </c>
      <c r="B25" s="1">
        <v>0.21279999999999999</v>
      </c>
      <c r="C25" s="1">
        <v>93.06</v>
      </c>
      <c r="D25" s="1">
        <v>0.47170000000000001</v>
      </c>
      <c r="E25" s="1">
        <v>85.61</v>
      </c>
    </row>
    <row r="26" spans="1:5" x14ac:dyDescent="0.3">
      <c r="A26" s="1">
        <v>24</v>
      </c>
      <c r="B26" s="1">
        <v>0.2034</v>
      </c>
      <c r="C26" s="1">
        <v>93.51</v>
      </c>
      <c r="D26" s="1">
        <v>0.60950000000000004</v>
      </c>
      <c r="E26" s="1">
        <v>83.51</v>
      </c>
    </row>
    <row r="27" spans="1:5" x14ac:dyDescent="0.3">
      <c r="A27" s="1">
        <v>25</v>
      </c>
      <c r="B27" s="1">
        <v>0.16370000000000001</v>
      </c>
      <c r="C27" s="1">
        <v>94.66</v>
      </c>
      <c r="D27" s="1">
        <v>0.57620000000000005</v>
      </c>
      <c r="E27" s="1">
        <v>84.44</v>
      </c>
    </row>
  </sheetData>
  <mergeCells count="2">
    <mergeCell ref="A1:E1"/>
    <mergeCell ref="G1:H1"/>
  </mergeCells>
  <conditionalFormatting sqref="A3:A27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:B27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C2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:D2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:E2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0BB-E5BD-4E86-B7A1-05790F987CD5}">
  <dimension ref="A1:H27"/>
  <sheetViews>
    <sheetView workbookViewId="0">
      <selection activeCell="G1" sqref="G1:H5"/>
    </sheetView>
  </sheetViews>
  <sheetFormatPr defaultRowHeight="14.4" x14ac:dyDescent="0.3"/>
  <cols>
    <col min="1" max="1" width="6.21875" style="1" bestFit="1" customWidth="1"/>
    <col min="2" max="2" width="9.21875" style="1" bestFit="1" customWidth="1"/>
    <col min="3" max="3" width="11.88671875" style="1" bestFit="1" customWidth="1"/>
    <col min="4" max="4" width="7.6640625" style="1" bestFit="1" customWidth="1"/>
    <col min="5" max="5" width="10.33203125" style="1" bestFit="1" customWidth="1"/>
    <col min="6" max="6" width="8.88671875" style="1"/>
    <col min="7" max="7" width="21.33203125" style="1" bestFit="1" customWidth="1"/>
    <col min="8" max="8" width="17.33203125" style="1" bestFit="1" customWidth="1"/>
    <col min="9" max="16384" width="8.88671875" style="1"/>
  </cols>
  <sheetData>
    <row r="1" spans="1:8" x14ac:dyDescent="0.3">
      <c r="A1" s="6" t="s">
        <v>19</v>
      </c>
      <c r="B1" s="6"/>
      <c r="C1" s="6"/>
      <c r="D1" s="6"/>
      <c r="E1" s="6"/>
      <c r="G1" s="6" t="s">
        <v>6</v>
      </c>
      <c r="H1" s="6"/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G2" s="2" t="s">
        <v>7</v>
      </c>
      <c r="H2" s="2" t="s">
        <v>14</v>
      </c>
    </row>
    <row r="3" spans="1:8" x14ac:dyDescent="0.3">
      <c r="A3" s="1">
        <v>1</v>
      </c>
      <c r="B3" s="1">
        <v>1.2242</v>
      </c>
      <c r="C3" s="1">
        <v>46.81</v>
      </c>
      <c r="D3" s="1">
        <v>1.1214</v>
      </c>
      <c r="E3" s="1">
        <v>52.13</v>
      </c>
      <c r="G3" s="1" t="s">
        <v>10</v>
      </c>
      <c r="H3" s="4">
        <v>0.72050000000000003</v>
      </c>
    </row>
    <row r="4" spans="1:8" x14ac:dyDescent="0.3">
      <c r="A4" s="1">
        <v>2</v>
      </c>
      <c r="B4" s="1">
        <v>1.0250999999999999</v>
      </c>
      <c r="C4" s="1">
        <v>58.89</v>
      </c>
      <c r="D4" s="1">
        <v>0.97629999999999995</v>
      </c>
      <c r="E4" s="1">
        <v>58.83</v>
      </c>
      <c r="G4" s="1" t="s">
        <v>15</v>
      </c>
      <c r="H4" s="1" t="s">
        <v>20</v>
      </c>
    </row>
    <row r="5" spans="1:8" x14ac:dyDescent="0.3">
      <c r="A5" s="1">
        <v>3</v>
      </c>
      <c r="B5" s="1">
        <v>0.96299999999999997</v>
      </c>
      <c r="C5" s="1">
        <v>61.95</v>
      </c>
      <c r="D5" s="1">
        <v>1.1040000000000001</v>
      </c>
      <c r="E5" s="1">
        <v>55.31</v>
      </c>
      <c r="G5" s="1" t="s">
        <v>17</v>
      </c>
      <c r="H5" s="1" t="s">
        <v>21</v>
      </c>
    </row>
    <row r="6" spans="1:8" x14ac:dyDescent="0.3">
      <c r="A6" s="1">
        <v>4</v>
      </c>
      <c r="B6" s="1">
        <v>0.93869999999999998</v>
      </c>
      <c r="C6" s="1">
        <v>62.69</v>
      </c>
      <c r="D6" s="1">
        <v>0.996</v>
      </c>
      <c r="E6" s="1">
        <v>58.33</v>
      </c>
    </row>
    <row r="7" spans="1:8" x14ac:dyDescent="0.3">
      <c r="A7" s="1">
        <v>5</v>
      </c>
      <c r="B7" s="1">
        <v>0.88180000000000003</v>
      </c>
      <c r="C7" s="1">
        <v>65.540000000000006</v>
      </c>
      <c r="D7" s="1">
        <v>0.89329999999999998</v>
      </c>
      <c r="E7" s="1">
        <v>60.25</v>
      </c>
    </row>
    <row r="8" spans="1:8" x14ac:dyDescent="0.3">
      <c r="A8" s="1">
        <v>6</v>
      </c>
      <c r="B8" s="1">
        <v>0.86170000000000002</v>
      </c>
      <c r="C8" s="1">
        <v>66.34</v>
      </c>
      <c r="D8" s="1">
        <v>0.99370000000000003</v>
      </c>
      <c r="E8" s="1">
        <v>60.08</v>
      </c>
    </row>
    <row r="9" spans="1:8" x14ac:dyDescent="0.3">
      <c r="A9" s="1">
        <v>7</v>
      </c>
      <c r="B9" s="1">
        <v>0.87280000000000002</v>
      </c>
      <c r="C9" s="1">
        <v>65.650000000000006</v>
      </c>
      <c r="D9" s="1">
        <v>0.97019999999999995</v>
      </c>
      <c r="E9" s="1">
        <v>60</v>
      </c>
    </row>
    <row r="10" spans="1:8" x14ac:dyDescent="0.3">
      <c r="A10" s="1">
        <v>8</v>
      </c>
      <c r="B10" s="1">
        <v>0.79079999999999995</v>
      </c>
      <c r="C10" s="1">
        <v>70.540000000000006</v>
      </c>
      <c r="D10" s="1">
        <v>0.78620000000000001</v>
      </c>
      <c r="E10" s="1">
        <v>68.28</v>
      </c>
    </row>
    <row r="11" spans="1:8" x14ac:dyDescent="0.3">
      <c r="A11" s="1">
        <v>9</v>
      </c>
      <c r="B11" s="1">
        <v>0.76529999999999998</v>
      </c>
      <c r="C11" s="1">
        <v>71.150000000000006</v>
      </c>
      <c r="D11" s="1">
        <v>0.81659999999999999</v>
      </c>
      <c r="E11" s="1">
        <v>65.36</v>
      </c>
    </row>
    <row r="12" spans="1:8" x14ac:dyDescent="0.3">
      <c r="A12" s="1">
        <v>10</v>
      </c>
      <c r="B12" s="1">
        <v>0.73970000000000002</v>
      </c>
      <c r="C12" s="1">
        <v>71.930000000000007</v>
      </c>
      <c r="D12" s="1">
        <v>0.94210000000000005</v>
      </c>
      <c r="E12" s="1">
        <v>63.93</v>
      </c>
    </row>
    <row r="13" spans="1:8" x14ac:dyDescent="0.3">
      <c r="A13" s="1">
        <v>11</v>
      </c>
      <c r="B13" s="1">
        <v>0.72289999999999999</v>
      </c>
      <c r="C13" s="1">
        <v>72.34</v>
      </c>
      <c r="D13" s="1">
        <v>0.71870000000000001</v>
      </c>
      <c r="E13" s="1">
        <v>69.37</v>
      </c>
    </row>
    <row r="14" spans="1:8" x14ac:dyDescent="0.3">
      <c r="A14" s="1">
        <v>12</v>
      </c>
      <c r="B14" s="1">
        <v>0.70909999999999995</v>
      </c>
      <c r="C14" s="1">
        <v>72.45</v>
      </c>
      <c r="D14" s="1">
        <v>0.98719999999999997</v>
      </c>
      <c r="E14" s="1">
        <v>64.849999999999994</v>
      </c>
    </row>
    <row r="15" spans="1:8" x14ac:dyDescent="0.3">
      <c r="A15" s="1">
        <v>13</v>
      </c>
      <c r="B15" s="1">
        <v>0.77749999999999997</v>
      </c>
      <c r="C15" s="1">
        <v>70.72</v>
      </c>
      <c r="D15" s="1">
        <v>0.79459999999999997</v>
      </c>
      <c r="E15" s="1">
        <v>67.45</v>
      </c>
    </row>
    <row r="16" spans="1:8" x14ac:dyDescent="0.3">
      <c r="A16" s="1">
        <v>14</v>
      </c>
      <c r="B16" s="1">
        <v>0.70130000000000003</v>
      </c>
      <c r="C16" s="1">
        <v>72.760000000000005</v>
      </c>
      <c r="D16" s="1">
        <v>0.70269999999999999</v>
      </c>
      <c r="E16" s="1">
        <v>69.37</v>
      </c>
    </row>
    <row r="17" spans="1:5" x14ac:dyDescent="0.3">
      <c r="A17" s="1">
        <v>15</v>
      </c>
      <c r="B17" s="1">
        <v>0.67659999999999998</v>
      </c>
      <c r="C17" s="1">
        <v>73.8</v>
      </c>
      <c r="D17" s="1">
        <v>0.79469999999999996</v>
      </c>
      <c r="E17" s="1">
        <v>69.12</v>
      </c>
    </row>
    <row r="18" spans="1:5" x14ac:dyDescent="0.3">
      <c r="A18" s="1">
        <v>16</v>
      </c>
      <c r="B18" s="1">
        <v>0.67500000000000004</v>
      </c>
      <c r="C18" s="1">
        <v>73.86</v>
      </c>
      <c r="D18" s="1">
        <v>0.68620000000000003</v>
      </c>
      <c r="E18" s="1">
        <v>71.05</v>
      </c>
    </row>
    <row r="19" spans="1:5" x14ac:dyDescent="0.3">
      <c r="A19" s="1">
        <v>17</v>
      </c>
      <c r="B19" s="1">
        <v>0.64610000000000001</v>
      </c>
      <c r="C19" s="1">
        <v>75.08</v>
      </c>
      <c r="D19" s="1">
        <v>0.7167</v>
      </c>
      <c r="E19" s="1">
        <v>69.790000000000006</v>
      </c>
    </row>
    <row r="20" spans="1:5" x14ac:dyDescent="0.3">
      <c r="A20" s="1">
        <v>18</v>
      </c>
      <c r="B20" s="1">
        <v>0.63280000000000003</v>
      </c>
      <c r="C20" s="1">
        <v>75.36</v>
      </c>
      <c r="D20" s="1">
        <v>0.66300000000000003</v>
      </c>
      <c r="E20" s="1">
        <v>71.55</v>
      </c>
    </row>
    <row r="21" spans="1:5" x14ac:dyDescent="0.3">
      <c r="A21" s="1">
        <v>19</v>
      </c>
      <c r="B21" s="1">
        <v>0.64570000000000005</v>
      </c>
      <c r="C21" s="1">
        <v>75.2</v>
      </c>
      <c r="D21" s="1">
        <v>0.7107</v>
      </c>
      <c r="E21" s="1">
        <v>70.040000000000006</v>
      </c>
    </row>
    <row r="22" spans="1:5" x14ac:dyDescent="0.3">
      <c r="A22" s="1">
        <v>20</v>
      </c>
      <c r="B22" s="1">
        <v>0.62180000000000002</v>
      </c>
      <c r="C22" s="1">
        <v>75.55</v>
      </c>
      <c r="D22" s="1">
        <v>0.66359999999999997</v>
      </c>
      <c r="E22" s="1">
        <v>71.63</v>
      </c>
    </row>
    <row r="23" spans="1:5" x14ac:dyDescent="0.3">
      <c r="A23" s="1">
        <v>21</v>
      </c>
      <c r="B23" s="1">
        <v>0.61750000000000005</v>
      </c>
      <c r="C23" s="1">
        <v>75.959999999999994</v>
      </c>
      <c r="D23" s="1">
        <v>0.63149999999999995</v>
      </c>
      <c r="E23" s="1">
        <v>72.64</v>
      </c>
    </row>
    <row r="24" spans="1:5" x14ac:dyDescent="0.3">
      <c r="A24" s="1">
        <v>22</v>
      </c>
      <c r="B24" s="1">
        <v>0.61209999999999998</v>
      </c>
      <c r="C24" s="1">
        <v>75.92</v>
      </c>
      <c r="D24" s="1">
        <v>0.65600000000000003</v>
      </c>
      <c r="E24" s="1">
        <v>72.13</v>
      </c>
    </row>
    <row r="25" spans="1:5" x14ac:dyDescent="0.3">
      <c r="A25" s="1">
        <v>23</v>
      </c>
      <c r="B25" s="1">
        <v>0.67659999999999998</v>
      </c>
      <c r="C25" s="1">
        <v>74.05</v>
      </c>
      <c r="D25" s="1">
        <v>0.75280000000000002</v>
      </c>
      <c r="E25" s="1">
        <v>69.87</v>
      </c>
    </row>
    <row r="26" spans="1:5" x14ac:dyDescent="0.3">
      <c r="A26" s="1">
        <v>24</v>
      </c>
      <c r="B26" s="1">
        <v>0.6048</v>
      </c>
      <c r="C26" s="1">
        <v>76.099999999999994</v>
      </c>
      <c r="D26" s="1">
        <v>0.62860000000000005</v>
      </c>
      <c r="E26" s="1">
        <v>72.97</v>
      </c>
    </row>
    <row r="27" spans="1:5" x14ac:dyDescent="0.3">
      <c r="A27" s="1">
        <v>25</v>
      </c>
      <c r="B27" s="1">
        <v>0.62470000000000003</v>
      </c>
      <c r="C27" s="1">
        <v>75.760000000000005</v>
      </c>
      <c r="D27" s="1">
        <v>0.62960000000000005</v>
      </c>
      <c r="E27" s="1">
        <v>72.55</v>
      </c>
    </row>
  </sheetData>
  <mergeCells count="2">
    <mergeCell ref="A1:E1"/>
    <mergeCell ref="G1:H1"/>
  </mergeCells>
  <conditionalFormatting sqref="A3:A2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:B27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C27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:D2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:E2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D01A-4602-4E7E-A2F4-79819DB85427}">
  <dimension ref="A1:Q8"/>
  <sheetViews>
    <sheetView workbookViewId="0">
      <selection activeCell="O3" sqref="L1:Q5"/>
    </sheetView>
  </sheetViews>
  <sheetFormatPr defaultRowHeight="14.4" x14ac:dyDescent="0.3"/>
  <cols>
    <col min="1" max="1" width="7.33203125" style="1" bestFit="1" customWidth="1"/>
    <col min="2" max="2" width="15.6640625" style="1" bestFit="1" customWidth="1"/>
    <col min="3" max="3" width="13.6640625" style="1" bestFit="1" customWidth="1"/>
    <col min="4" max="5" width="8.88671875" style="1"/>
    <col min="6" max="6" width="5.21875" style="1" bestFit="1" customWidth="1"/>
    <col min="7" max="7" width="11.6640625" style="1" bestFit="1" customWidth="1"/>
    <col min="8" max="8" width="13.6640625" style="1" bestFit="1" customWidth="1"/>
    <col min="9" max="9" width="18.21875" style="1" bestFit="1" customWidth="1"/>
    <col min="10" max="11" width="8.88671875" style="1"/>
    <col min="12" max="12" width="5.109375" style="1" bestFit="1" customWidth="1"/>
    <col min="13" max="13" width="5.44140625" style="1" bestFit="1" customWidth="1"/>
    <col min="14" max="14" width="4" style="1" bestFit="1" customWidth="1"/>
    <col min="15" max="15" width="6.21875" style="1" bestFit="1" customWidth="1"/>
    <col min="16" max="16" width="5.77734375" style="1" bestFit="1" customWidth="1"/>
    <col min="17" max="17" width="7.109375" style="1" bestFit="1" customWidth="1"/>
    <col min="18" max="16384" width="8.88671875" style="1"/>
  </cols>
  <sheetData>
    <row r="1" spans="1:17" x14ac:dyDescent="0.3">
      <c r="A1" s="6" t="s">
        <v>22</v>
      </c>
      <c r="B1" s="6"/>
      <c r="C1" s="6"/>
      <c r="F1" s="6" t="s">
        <v>32</v>
      </c>
      <c r="G1" s="6"/>
      <c r="H1" s="6"/>
      <c r="I1" s="3"/>
      <c r="L1" s="6" t="s">
        <v>38</v>
      </c>
      <c r="M1" s="6"/>
      <c r="N1" s="6"/>
      <c r="O1" s="6"/>
      <c r="P1" s="6"/>
      <c r="Q1" s="6"/>
    </row>
    <row r="2" spans="1:17" x14ac:dyDescent="0.3">
      <c r="A2" s="2" t="s">
        <v>23</v>
      </c>
      <c r="B2" s="2" t="s">
        <v>24</v>
      </c>
      <c r="C2" s="2" t="s">
        <v>25</v>
      </c>
      <c r="F2" s="2" t="s">
        <v>33</v>
      </c>
      <c r="G2" s="2" t="s">
        <v>34</v>
      </c>
      <c r="H2" s="2" t="s">
        <v>25</v>
      </c>
      <c r="I2" s="2"/>
      <c r="L2" s="2" t="s">
        <v>33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39</v>
      </c>
    </row>
    <row r="3" spans="1:17" x14ac:dyDescent="0.3">
      <c r="A3" s="1">
        <v>0</v>
      </c>
      <c r="B3" s="1" t="s">
        <v>26</v>
      </c>
      <c r="C3" s="5">
        <v>4146</v>
      </c>
      <c r="F3" s="1" t="s">
        <v>35</v>
      </c>
      <c r="G3" s="5">
        <v>4867</v>
      </c>
      <c r="H3" s="5">
        <v>16457</v>
      </c>
      <c r="L3" s="1" t="s">
        <v>35</v>
      </c>
      <c r="M3" s="5">
        <v>3259</v>
      </c>
      <c r="N3" s="5">
        <v>388</v>
      </c>
      <c r="O3" s="5">
        <v>9165</v>
      </c>
      <c r="P3" s="5">
        <v>3627</v>
      </c>
      <c r="Q3" s="5">
        <v>18</v>
      </c>
    </row>
    <row r="4" spans="1:17" x14ac:dyDescent="0.3">
      <c r="A4" s="1">
        <v>1</v>
      </c>
      <c r="B4" s="1" t="s">
        <v>27</v>
      </c>
      <c r="C4" s="1">
        <v>545</v>
      </c>
      <c r="F4" s="1" t="s">
        <v>36</v>
      </c>
      <c r="G4" s="1">
        <v>1195</v>
      </c>
      <c r="H4" s="1">
        <v>4012</v>
      </c>
      <c r="L4" s="1" t="s">
        <v>36</v>
      </c>
      <c r="M4" s="1">
        <v>663</v>
      </c>
      <c r="N4" s="1">
        <v>110</v>
      </c>
      <c r="O4" s="1">
        <v>2141</v>
      </c>
      <c r="P4" s="1">
        <v>1097</v>
      </c>
      <c r="Q4" s="1">
        <v>1</v>
      </c>
    </row>
    <row r="5" spans="1:17" x14ac:dyDescent="0.3">
      <c r="A5" s="1">
        <v>2</v>
      </c>
      <c r="B5" s="1" t="s">
        <v>28</v>
      </c>
      <c r="C5" s="5">
        <v>12388</v>
      </c>
      <c r="F5" s="1" t="s">
        <v>37</v>
      </c>
      <c r="G5" s="5">
        <v>508</v>
      </c>
      <c r="H5" s="5">
        <v>1873</v>
      </c>
      <c r="L5" s="1" t="s">
        <v>37</v>
      </c>
      <c r="M5" s="5">
        <v>224</v>
      </c>
      <c r="N5" s="5">
        <v>47</v>
      </c>
      <c r="O5" s="5">
        <v>1082</v>
      </c>
      <c r="P5" s="5">
        <v>515</v>
      </c>
      <c r="Q5" s="5">
        <v>5</v>
      </c>
    </row>
    <row r="6" spans="1:17" x14ac:dyDescent="0.3">
      <c r="A6" s="1">
        <v>3</v>
      </c>
      <c r="B6" s="1" t="s">
        <v>29</v>
      </c>
      <c r="C6" s="5">
        <v>5239</v>
      </c>
      <c r="F6" s="1" t="s">
        <v>31</v>
      </c>
      <c r="G6" s="5">
        <v>6570</v>
      </c>
      <c r="H6" s="5">
        <v>22342</v>
      </c>
      <c r="M6" s="5"/>
      <c r="N6" s="5"/>
    </row>
    <row r="7" spans="1:17" x14ac:dyDescent="0.3">
      <c r="A7" s="1">
        <v>4</v>
      </c>
      <c r="B7" s="1" t="s">
        <v>30</v>
      </c>
      <c r="C7" s="1">
        <v>24</v>
      </c>
    </row>
    <row r="8" spans="1:17" x14ac:dyDescent="0.3">
      <c r="A8" s="2" t="s">
        <v>31</v>
      </c>
      <c r="C8" s="5">
        <f>SUM(C3:C7)</f>
        <v>22342</v>
      </c>
    </row>
  </sheetData>
  <mergeCells count="3">
    <mergeCell ref="A1:C1"/>
    <mergeCell ref="L1:Q1"/>
    <mergeCell ref="F1:H1"/>
  </mergeCells>
  <conditionalFormatting sqref="C3:C7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:G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3:H7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:M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3:N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3:O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3:P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3:Q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9492-A883-4C6B-9596-AA01FA08EA20}">
  <dimension ref="A1:G5"/>
  <sheetViews>
    <sheetView tabSelected="1" workbookViewId="0">
      <selection activeCell="B5" sqref="A1:E5"/>
    </sheetView>
  </sheetViews>
  <sheetFormatPr defaultRowHeight="14.4" x14ac:dyDescent="0.3"/>
  <cols>
    <col min="1" max="1" width="27.21875" bestFit="1" customWidth="1"/>
    <col min="2" max="2" width="15.109375" bestFit="1" customWidth="1"/>
    <col min="3" max="3" width="14" bestFit="1" customWidth="1"/>
    <col min="4" max="4" width="11.5546875" bestFit="1" customWidth="1"/>
    <col min="5" max="5" width="26.5546875" bestFit="1" customWidth="1"/>
  </cols>
  <sheetData>
    <row r="1" spans="1:7" x14ac:dyDescent="0.3">
      <c r="A1" s="6" t="s">
        <v>40</v>
      </c>
      <c r="B1" s="6"/>
      <c r="C1" s="6"/>
      <c r="D1" s="6"/>
      <c r="E1" s="6"/>
    </row>
    <row r="2" spans="1:7" x14ac:dyDescent="0.3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</row>
    <row r="3" spans="1:7" x14ac:dyDescent="0.3">
      <c r="A3" s="1" t="s">
        <v>46</v>
      </c>
      <c r="B3" s="4">
        <v>0.94489999999999996</v>
      </c>
      <c r="C3" s="4">
        <v>0.95899999999999996</v>
      </c>
      <c r="D3" s="4">
        <v>0.16</v>
      </c>
      <c r="E3" s="1" t="s">
        <v>47</v>
      </c>
    </row>
    <row r="4" spans="1:7" x14ac:dyDescent="0.3">
      <c r="A4" s="1" t="s">
        <v>48</v>
      </c>
      <c r="B4" s="4">
        <v>0.83860000000000001</v>
      </c>
      <c r="C4" s="4">
        <v>0.8569</v>
      </c>
      <c r="D4" s="4">
        <v>0.46899999999999997</v>
      </c>
      <c r="E4" s="1" t="s">
        <v>49</v>
      </c>
      <c r="G4" s="1"/>
    </row>
    <row r="5" spans="1:7" x14ac:dyDescent="0.3">
      <c r="A5" s="1" t="s">
        <v>50</v>
      </c>
      <c r="B5" s="4">
        <v>0.72050000000000003</v>
      </c>
      <c r="C5" s="4">
        <v>0.72970000000000002</v>
      </c>
      <c r="D5" s="4">
        <v>0.62860000000000005</v>
      </c>
      <c r="E5" s="1" t="s">
        <v>51</v>
      </c>
    </row>
  </sheetData>
  <mergeCells count="1">
    <mergeCell ref="A1:E1"/>
  </mergeCells>
  <conditionalFormatting sqref="B3:B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CRNN </vt:lpstr>
      <vt:lpstr>Vit</vt:lpstr>
      <vt:lpstr>GCNN</vt:lpstr>
      <vt:lpstr>EDA</vt:lpstr>
      <vt:lpstr>Final Comparative Results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Butt</dc:creator>
  <cp:lastModifiedBy>Moaqir Ahmad Mian</cp:lastModifiedBy>
  <dcterms:created xsi:type="dcterms:W3CDTF">2015-06-05T18:17:20Z</dcterms:created>
  <dcterms:modified xsi:type="dcterms:W3CDTF">2026-01-30T18:19:01Z</dcterms:modified>
</cp:coreProperties>
</file>